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<sst xmlns="http://schemas.openxmlformats.org/spreadsheetml/2006/main" count="59" uniqueCount="50">
  <si>
    <t>GlowNest- Campaign Vialabiltiy Analysis</t>
  </si>
  <si>
    <t>-</t>
  </si>
  <si>
    <t>BRAND DATA</t>
  </si>
  <si>
    <t xml:space="preserve">Selling Price(SP) </t>
  </si>
  <si>
    <t>Cost of goods sold (COGS)</t>
  </si>
  <si>
    <t>Amazon Referral Fee %</t>
  </si>
  <si>
    <t>Monthly Ad Spend</t>
  </si>
  <si>
    <t>Units Sold via Ads</t>
  </si>
  <si>
    <t>Organic units sold</t>
  </si>
  <si>
    <t>Fixed Costs</t>
  </si>
  <si>
    <t>Q-1 UNIT ECONOMICs</t>
  </si>
  <si>
    <t>Gross Margin</t>
  </si>
  <si>
    <t>Amazon Fee Per Unit</t>
  </si>
  <si>
    <t>Ad Cost Per Unit</t>
  </si>
  <si>
    <t>Net Margin(Ad Units)</t>
  </si>
  <si>
    <t>Q-2 MONTHLY PROFITABILITY</t>
  </si>
  <si>
    <t>Net Margin- Organic Units</t>
  </si>
  <si>
    <t>Profit From Ad Units</t>
  </si>
  <si>
    <t>Profit From Organic Units</t>
  </si>
  <si>
    <t>Total Profit (Before Fixed Cost)</t>
  </si>
  <si>
    <t>Monthly Profit (After Fixed Cost)</t>
  </si>
  <si>
    <t>Q3 - ACOS AND TACOS</t>
  </si>
  <si>
    <t>Ad Revenue (Ad units * SP)</t>
  </si>
  <si>
    <t>Total Revenue (All Units * SP)</t>
  </si>
  <si>
    <t>ACOS %</t>
  </si>
  <si>
    <t>TACOS%</t>
  </si>
  <si>
    <t>Are these healthy</t>
  </si>
  <si>
    <t>ACOS 25% is healthy (below 65% breakeven). TACOS 10.7% is excellent (below 15% is good).</t>
  </si>
  <si>
    <t>Q4- BREAK-EVEN AD SPEND</t>
  </si>
  <si>
    <t>Organic Profit (Fixed, No ads)</t>
  </si>
  <si>
    <t>Max Ad Spend (Break-Even)</t>
  </si>
  <si>
    <t>Break-Even ACOS %</t>
  </si>
  <si>
    <t>Q5- ACOS Worsens to 40%</t>
  </si>
  <si>
    <t>New Ad Units</t>
  </si>
  <si>
    <t>New ACOS %</t>
  </si>
  <si>
    <t>New Ad Revenue</t>
  </si>
  <si>
    <t>New Ad Spend</t>
  </si>
  <si>
    <t>New Ad Cost per Unit</t>
  </si>
  <si>
    <t>New Net Margin (Ad Units)</t>
  </si>
  <si>
    <t>New Profit from Ad Units</t>
  </si>
  <si>
    <t>Organic Profit (same)</t>
  </si>
  <si>
    <t>New Monthly Profit</t>
  </si>
  <si>
    <t>Profit Drop vs Current</t>
  </si>
  <si>
    <t>Recommendation</t>
  </si>
  <si>
    <t>Pause weak keywords, tighten targeting, fix product listing to improve conversion rate.</t>
  </si>
  <si>
    <t>Q6 - SCENARIO: SCALING UP AD SPEND</t>
  </si>
  <si>
    <t>Profit vs Current</t>
  </si>
  <si>
    <t>New TACOS %</t>
  </si>
  <si>
    <t>Good Decision?</t>
  </si>
  <si>
    <t>YES. Profit increases by ₹1.24L/month. TACOS rises slightly to ~15.8% but still acceptable. Scaling is justified.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</si>
</sst>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83.75"/>
  </cols>
  <sheetData>
    <row r="2">
      <c r="A2" s="1" t="s">
        <v>0</v>
      </c>
      <c r="B2" s="1" t="s">
        <v>1</v>
      </c>
    </row>
    <row r="3">
      <c r="B3" s="1" t="s">
        <v>1</v>
      </c>
    </row>
    <row r="4">
      <c r="A4" s="1" t="s">
        <v>2</v>
      </c>
      <c r="B4" s="1" t="s">
        <v>1</v>
      </c>
    </row>
    <row r="5">
      <c r="A5" s="1" t="s">
        <v>3</v>
      </c>
      <c r="B5" s="2">
        <v>800.0</v>
      </c>
    </row>
    <row r="6">
      <c r="A6" s="1" t="s">
        <v>4</v>
      </c>
      <c r="B6" s="1">
        <v>280.0</v>
      </c>
    </row>
    <row r="7">
      <c r="A7" s="1" t="s">
        <v>5</v>
      </c>
      <c r="B7" s="3">
        <v>0.12</v>
      </c>
    </row>
    <row r="8">
      <c r="A8" s="1" t="s">
        <v>6</v>
      </c>
      <c r="B8" s="1">
        <v>300000.0</v>
      </c>
    </row>
    <row r="9">
      <c r="A9" s="1" t="s">
        <v>7</v>
      </c>
      <c r="B9" s="1">
        <v>1500.0</v>
      </c>
    </row>
    <row r="10">
      <c r="A10" s="1" t="s">
        <v>8</v>
      </c>
      <c r="B10" s="1">
        <v>2000.0</v>
      </c>
    </row>
    <row r="11">
      <c r="A11" s="1" t="s">
        <v>9</v>
      </c>
      <c r="B11" s="1">
        <v>150000.0</v>
      </c>
    </row>
    <row r="13">
      <c r="A13" s="1" t="s">
        <v>10</v>
      </c>
    </row>
    <row r="14">
      <c r="A14" s="1" t="s">
        <v>11</v>
      </c>
      <c r="B14" s="4">
        <f>B5-B6</f>
        <v>520</v>
      </c>
    </row>
    <row r="15">
      <c r="A15" s="1" t="s">
        <v>12</v>
      </c>
      <c r="B15" s="4">
        <f>B5*B7</f>
        <v>96</v>
      </c>
    </row>
    <row r="16">
      <c r="A16" s="1" t="s">
        <v>13</v>
      </c>
      <c r="B16" s="4">
        <f>B8/B9</f>
        <v>200</v>
      </c>
    </row>
    <row r="17">
      <c r="A17" s="1" t="s">
        <v>14</v>
      </c>
      <c r="B17" s="4">
        <f>B14-B15-B16</f>
        <v>224</v>
      </c>
    </row>
    <row r="19">
      <c r="A19" s="1" t="s">
        <v>15</v>
      </c>
    </row>
    <row r="20">
      <c r="A20" s="1" t="s">
        <v>16</v>
      </c>
      <c r="B20" s="4">
        <f>B14-B15</f>
        <v>424</v>
      </c>
    </row>
    <row r="21">
      <c r="A21" s="1" t="s">
        <v>17</v>
      </c>
      <c r="B21" s="4">
        <f>B17*B9</f>
        <v>336000</v>
      </c>
    </row>
    <row r="22">
      <c r="A22" s="1" t="s">
        <v>18</v>
      </c>
      <c r="B22" s="4">
        <f>B20*B10</f>
        <v>848000</v>
      </c>
    </row>
    <row r="23">
      <c r="A23" s="1" t="s">
        <v>19</v>
      </c>
      <c r="B23" s="4">
        <f>B21+B22</f>
        <v>1184000</v>
      </c>
    </row>
    <row r="24">
      <c r="A24" s="1" t="s">
        <v>20</v>
      </c>
      <c r="B24" s="4">
        <f>B23-B11</f>
        <v>1034000</v>
      </c>
    </row>
    <row r="26">
      <c r="A26" s="1" t="s">
        <v>21</v>
      </c>
    </row>
    <row r="27">
      <c r="A27" s="1" t="s">
        <v>22</v>
      </c>
      <c r="B27" s="4">
        <f>B9*B5</f>
        <v>1200000</v>
      </c>
    </row>
    <row r="28">
      <c r="A28" s="1" t="s">
        <v>23</v>
      </c>
      <c r="B28" s="4">
        <f>(B9+B10)*B5</f>
        <v>2800000</v>
      </c>
    </row>
    <row r="29">
      <c r="A29" s="1" t="s">
        <v>24</v>
      </c>
      <c r="B29" s="4">
        <f>B8/B27*100</f>
        <v>25</v>
      </c>
    </row>
    <row r="30">
      <c r="A30" s="1" t="s">
        <v>25</v>
      </c>
      <c r="B30" s="4">
        <f>B8/B28*100</f>
        <v>10.71428571</v>
      </c>
    </row>
    <row r="31">
      <c r="A31" s="1" t="s">
        <v>26</v>
      </c>
      <c r="B31" s="1" t="s">
        <v>27</v>
      </c>
    </row>
    <row r="33">
      <c r="A33" s="1" t="s">
        <v>28</v>
      </c>
    </row>
    <row r="34">
      <c r="A34" s="1" t="s">
        <v>29</v>
      </c>
      <c r="B34" s="4">
        <f>B22-B11</f>
        <v>698000</v>
      </c>
    </row>
    <row r="35">
      <c r="A35" s="1" t="s">
        <v>30</v>
      </c>
      <c r="B35" s="4">
        <f>B34+(B17*B9)</f>
        <v>1034000</v>
      </c>
    </row>
    <row r="36">
      <c r="A36" s="1" t="s">
        <v>31</v>
      </c>
      <c r="B36" s="4">
        <f>B35/B27*100</f>
        <v>86.16666667</v>
      </c>
    </row>
    <row r="38">
      <c r="A38" s="1" t="s">
        <v>32</v>
      </c>
    </row>
    <row r="39">
      <c r="A39" s="1" t="s">
        <v>33</v>
      </c>
      <c r="B39" s="1">
        <v>1200.0</v>
      </c>
    </row>
    <row r="40">
      <c r="A40" s="1" t="s">
        <v>34</v>
      </c>
      <c r="B40" s="3">
        <v>0.4</v>
      </c>
    </row>
    <row r="41">
      <c r="A41" s="1" t="s">
        <v>35</v>
      </c>
      <c r="B41" s="4">
        <f>B39*B5</f>
        <v>960000</v>
      </c>
    </row>
    <row r="42">
      <c r="A42" s="1" t="s">
        <v>36</v>
      </c>
      <c r="B42" s="4">
        <f>B40*B41</f>
        <v>384000</v>
      </c>
    </row>
    <row r="43">
      <c r="A43" s="1" t="s">
        <v>37</v>
      </c>
      <c r="B43" s="4">
        <f>B42/B39</f>
        <v>320</v>
      </c>
    </row>
    <row r="44">
      <c r="A44" s="1" t="s">
        <v>38</v>
      </c>
      <c r="B44" s="4">
        <f>B14-B15-B43</f>
        <v>104</v>
      </c>
    </row>
    <row r="45">
      <c r="A45" s="1" t="s">
        <v>39</v>
      </c>
      <c r="B45" s="4">
        <f>B44*B39</f>
        <v>124800</v>
      </c>
    </row>
    <row r="46">
      <c r="A46" s="1" t="s">
        <v>40</v>
      </c>
      <c r="B46" s="4">
        <f>B22</f>
        <v>848000</v>
      </c>
    </row>
    <row r="47">
      <c r="A47" s="1" t="s">
        <v>41</v>
      </c>
      <c r="B47" s="4">
        <f>B45+B46-B11</f>
        <v>822800</v>
      </c>
    </row>
    <row r="48">
      <c r="A48" s="1" t="s">
        <v>42</v>
      </c>
      <c r="B48" s="4">
        <f>B24-B47</f>
        <v>211200</v>
      </c>
    </row>
    <row r="49">
      <c r="A49" s="1" t="s">
        <v>43</v>
      </c>
      <c r="B49" s="1" t="s">
        <v>44</v>
      </c>
    </row>
    <row r="51">
      <c r="A51" s="1" t="s">
        <v>45</v>
      </c>
    </row>
    <row r="52">
      <c r="A52" s="1" t="s">
        <v>36</v>
      </c>
      <c r="B52" s="1">
        <v>600000.0</v>
      </c>
    </row>
    <row r="53">
      <c r="A53" s="1" t="s">
        <v>33</v>
      </c>
      <c r="B53" s="1">
        <v>2500.0</v>
      </c>
    </row>
    <row r="54">
      <c r="A54" s="1" t="s">
        <v>37</v>
      </c>
      <c r="B54" s="4">
        <f>B52/B53</f>
        <v>240</v>
      </c>
    </row>
    <row r="55">
      <c r="A55" s="1" t="s">
        <v>38</v>
      </c>
      <c r="B55" s="4">
        <f>B14-B15-B54</f>
        <v>184</v>
      </c>
    </row>
    <row r="56">
      <c r="A56" s="1" t="s">
        <v>39</v>
      </c>
      <c r="B56" s="4">
        <f>B55*B53</f>
        <v>460000</v>
      </c>
    </row>
    <row r="57">
      <c r="A57" s="1" t="s">
        <v>40</v>
      </c>
      <c r="B57" s="4">
        <f>B22</f>
        <v>848000</v>
      </c>
    </row>
    <row r="58">
      <c r="A58" s="1" t="s">
        <v>41</v>
      </c>
      <c r="B58" s="4">
        <f>B56+B57-B11</f>
        <v>1158000</v>
      </c>
    </row>
    <row r="59">
      <c r="A59" s="1" t="s">
        <v>46</v>
      </c>
      <c r="B59" s="4">
        <f>B58-B24</f>
        <v>124000</v>
      </c>
    </row>
    <row r="60">
      <c r="A60" s="1" t="s">
        <v>47</v>
      </c>
      <c r="B60" s="4">
        <f>B52/((B53+B10*B5)*100)</f>
        <v>0.003744149766</v>
      </c>
    </row>
    <row r="61">
      <c r="A61" s="1" t="s">
        <v>48</v>
      </c>
      <c r="B61" s="1" t="s">
        <v>49</v>
      </c>
    </row>
  </sheetData>
  <drawing r:id="rId1"/>
</worksheet>
</file>