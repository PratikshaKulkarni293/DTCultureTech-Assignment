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<sst xmlns="http://schemas.openxmlformats.org/spreadsheetml/2006/main" count="33" uniqueCount="32">
  <si>
    <t>GlowNest – Dynamic Profitability Model</t>
  </si>
  <si>
    <t>--- INPUTS (Change these values) ---</t>
  </si>
  <si>
    <t>Selling Price (SP)</t>
  </si>
  <si>
    <t>COGS</t>
  </si>
  <si>
    <t>Amazon Referral Fee %</t>
  </si>
  <si>
    <t>Monthly Ad Spend</t>
  </si>
  <si>
    <t>Units Sold via Ads</t>
  </si>
  <si>
    <t>Organic Units Sold</t>
  </si>
  <si>
    <t>Fixed Costs</t>
  </si>
  <si>
    <t>--- OUTPUTS (Auto-Calculated) ---</t>
  </si>
  <si>
    <t>Gross Margin per Unit</t>
  </si>
  <si>
    <t>Amazon Fee per Unit</t>
  </si>
  <si>
    <t>Ad Cost per Unit</t>
  </si>
  <si>
    <t>Net Margin (Ad Units)</t>
  </si>
  <si>
    <t>Net Margin (Organic Units)</t>
  </si>
  <si>
    <t>Total Monthly Revenue</t>
  </si>
  <si>
    <t>Total Monthly Profit</t>
  </si>
  <si>
    <t>ACOS %</t>
  </si>
  <si>
    <t>TACOS %</t>
  </si>
  <si>
    <t>Break-Even Ad Spend</t>
  </si>
  <si>
    <t>--- SCENARIO ANALYSIS ---</t>
  </si>
  <si>
    <t>SCENARIO 1: SP increases to ₹950</t>
  </si>
  <si>
    <t>New Total Profit</t>
  </si>
  <si>
    <t>New TACOS %</t>
  </si>
  <si>
    <t>SCENARIO 2: COGS increases by 20%</t>
  </si>
  <si>
    <t>New COGS</t>
  </si>
  <si>
    <t>New Break-Even Ad Spend</t>
  </si>
  <si>
    <t>SCENARIO 3: Organic units grow to 3500</t>
  </si>
  <si>
    <t>SCENARIO 4: SP drops to ₹700</t>
  </si>
  <si>
    <t>New Net Margin (Ad Units)</t>
  </si>
  <si>
    <t>Advice</t>
  </si>
  <si>
    <t>SP drop to ₹700 makes ad units unprofitable. Do NOT drop price. Differentiate on quality instead.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</si>
</sst>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  <col customWidth="1" min="2" max="2" width="74.25"/>
  </cols>
  <sheetData>
    <row r="1">
      <c r="A1" s="1" t="s">
        <v>0</v>
      </c>
    </row>
    <row r="3">
      <c r="A3" s="1" t="s">
        <v>1</v>
      </c>
    </row>
    <row r="4">
      <c r="A4" s="1" t="s">
        <v>2</v>
      </c>
      <c r="B4" s="1">
        <v>800.0</v>
      </c>
    </row>
    <row r="5">
      <c r="A5" s="1" t="s">
        <v>3</v>
      </c>
      <c r="B5" s="1">
        <v>280.0</v>
      </c>
    </row>
    <row r="6">
      <c r="A6" s="1" t="s">
        <v>4</v>
      </c>
      <c r="B6" s="2">
        <v>0.12</v>
      </c>
    </row>
    <row r="7">
      <c r="A7" s="1" t="s">
        <v>5</v>
      </c>
      <c r="B7" s="1">
        <v>300000.0</v>
      </c>
    </row>
    <row r="8">
      <c r="A8" s="1" t="s">
        <v>6</v>
      </c>
      <c r="B8" s="1">
        <v>1500.0</v>
      </c>
    </row>
    <row r="9">
      <c r="A9" s="1" t="s">
        <v>7</v>
      </c>
      <c r="B9" s="1">
        <v>2000.0</v>
      </c>
    </row>
    <row r="10">
      <c r="A10" s="1" t="s">
        <v>8</v>
      </c>
      <c r="B10" s="1">
        <v>150000.0</v>
      </c>
    </row>
    <row r="12">
      <c r="A12" s="1" t="s">
        <v>9</v>
      </c>
    </row>
    <row r="13">
      <c r="A13" s="1" t="s">
        <v>10</v>
      </c>
      <c r="B13" s="3">
        <f>B4-B5</f>
        <v>520</v>
      </c>
    </row>
    <row r="14">
      <c r="A14" s="1" t="s">
        <v>11</v>
      </c>
      <c r="B14" s="3">
        <f>B4*B6</f>
        <v>96</v>
      </c>
    </row>
    <row r="15">
      <c r="A15" s="1" t="s">
        <v>12</v>
      </c>
      <c r="B15" s="3">
        <f>B7/B8</f>
        <v>200</v>
      </c>
    </row>
    <row r="16">
      <c r="A16" s="1" t="s">
        <v>13</v>
      </c>
      <c r="B16" s="3">
        <f>B13-B14-B15</f>
        <v>224</v>
      </c>
    </row>
    <row r="17">
      <c r="A17" s="1" t="s">
        <v>14</v>
      </c>
      <c r="B17" s="3">
        <f>B13-B14</f>
        <v>424</v>
      </c>
    </row>
    <row r="18">
      <c r="A18" s="1" t="s">
        <v>15</v>
      </c>
      <c r="B18" s="3">
        <f>B4*(B8+B9)</f>
        <v>2800000</v>
      </c>
    </row>
    <row r="19">
      <c r="A19" s="1" t="s">
        <v>16</v>
      </c>
      <c r="B19" s="3">
        <f>(B16*B8)+(B17*B9)-B10</f>
        <v>1034000</v>
      </c>
    </row>
    <row r="20">
      <c r="A20" s="1" t="s">
        <v>17</v>
      </c>
      <c r="B20" s="3">
        <f>B7/(B4*B8)*100</f>
        <v>25</v>
      </c>
    </row>
    <row r="21">
      <c r="A21" s="1" t="s">
        <v>18</v>
      </c>
      <c r="B21" s="3">
        <f>B7/B18*100</f>
        <v>10.71428571</v>
      </c>
    </row>
    <row r="22">
      <c r="A22" s="1" t="s">
        <v>19</v>
      </c>
      <c r="B22" s="3">
        <f>(B17*B9-B10)+(B16*B8)</f>
        <v>1034000</v>
      </c>
    </row>
    <row r="24">
      <c r="A24" s="1" t="s">
        <v>20</v>
      </c>
    </row>
    <row r="25">
      <c r="A25" s="1" t="s">
        <v>21</v>
      </c>
    </row>
    <row r="26">
      <c r="A26" s="1" t="s">
        <v>22</v>
      </c>
      <c r="B26" s="3">
        <f>((950-B5-950*B6-B15)*B8)+((950-B5-950*B6)*B9)-B10</f>
        <v>1496000</v>
      </c>
    </row>
    <row r="27">
      <c r="A27" s="1" t="s">
        <v>23</v>
      </c>
      <c r="B27" s="3">
        <f>B7/(950*(B8+B9))*100</f>
        <v>9.022556391</v>
      </c>
    </row>
    <row r="28">
      <c r="A28" s="1" t="s">
        <v>24</v>
      </c>
    </row>
    <row r="29">
      <c r="A29" s="1" t="s">
        <v>25</v>
      </c>
      <c r="B29" s="3">
        <f>B5*1.2</f>
        <v>336</v>
      </c>
    </row>
    <row r="30">
      <c r="A30" s="1" t="s">
        <v>26</v>
      </c>
      <c r="B30" s="3">
        <f>((B13-(B5*0.2))*B9-B10)+((B13-(B5*0.2)-B14-B15)*B8)</f>
        <v>1030000</v>
      </c>
    </row>
    <row r="31">
      <c r="A31" s="1" t="s">
        <v>27</v>
      </c>
    </row>
    <row r="32">
      <c r="A32" s="1" t="s">
        <v>23</v>
      </c>
      <c r="B32" s="3">
        <f>B7/(B4*(B8+3500))*100</f>
        <v>7.5</v>
      </c>
    </row>
    <row r="33">
      <c r="A33" s="1" t="s">
        <v>28</v>
      </c>
    </row>
    <row r="34">
      <c r="A34" s="1" t="s">
        <v>29</v>
      </c>
      <c r="B34" s="3">
        <f>700-(700*B6)-B5-B15</f>
        <v>136</v>
      </c>
    </row>
    <row r="35">
      <c r="A35" s="1" t="s">
        <v>30</v>
      </c>
      <c r="B35" s="1" t="s">
        <v>31</v>
      </c>
    </row>
  </sheetData>
  <drawing r:id="rId1"/>
</worksheet>
</file>